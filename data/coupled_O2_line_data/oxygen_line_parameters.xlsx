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shamik/Documents/Work/atmo3/"/>
    </mc:Choice>
  </mc:AlternateContent>
  <xr:revisionPtr revIDLastSave="0" documentId="13_ncr:1_{1C19C52F-D1AD-9C4C-87FF-CC5145483E57}" xr6:coauthVersionLast="47" xr6:coauthVersionMax="47" xr10:uidLastSave="{00000000-0000-0000-0000-000000000000}"/>
  <bookViews>
    <workbookView xWindow="7820" yWindow="7180" windowWidth="22020" windowHeight="12060" xr2:uid="{00000000-000D-0000-FFFF-FFFF00000000}"/>
  </bookViews>
  <sheets>
    <sheet name="O2 Line Paramet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2" i="1" l="1"/>
  <c r="G42" i="1" s="1"/>
  <c r="F41" i="1"/>
  <c r="G41" i="1" s="1"/>
  <c r="F40" i="1"/>
  <c r="G40" i="1" s="1"/>
  <c r="F39" i="1"/>
  <c r="G39" i="1" s="1"/>
  <c r="F38" i="1"/>
  <c r="G38" i="1" s="1"/>
  <c r="F37" i="1"/>
  <c r="G37" i="1" s="1"/>
  <c r="F36" i="1"/>
  <c r="G36" i="1" s="1"/>
  <c r="G35" i="1"/>
  <c r="F35" i="1"/>
  <c r="F34" i="1"/>
  <c r="G34" i="1" s="1"/>
  <c r="F33" i="1"/>
  <c r="G33" i="1" s="1"/>
  <c r="F32" i="1"/>
  <c r="G32" i="1" s="1"/>
  <c r="F31" i="1"/>
  <c r="G31" i="1" s="1"/>
  <c r="F30" i="1"/>
  <c r="G30" i="1" s="1"/>
  <c r="F29" i="1"/>
  <c r="G29" i="1" s="1"/>
  <c r="F28" i="1"/>
  <c r="G28" i="1" s="1"/>
  <c r="F27" i="1"/>
  <c r="G27" i="1" s="1"/>
  <c r="F26" i="1"/>
  <c r="G26" i="1" s="1"/>
  <c r="F25" i="1"/>
  <c r="G25" i="1" s="1"/>
  <c r="F24" i="1"/>
  <c r="G24" i="1" s="1"/>
  <c r="F23" i="1"/>
  <c r="G23" i="1" s="1"/>
  <c r="F22" i="1"/>
  <c r="G22" i="1" s="1"/>
  <c r="F21" i="1"/>
  <c r="G21" i="1" s="1"/>
  <c r="F20" i="1"/>
  <c r="G20" i="1" s="1"/>
  <c r="F19" i="1"/>
  <c r="G19" i="1" s="1"/>
  <c r="F18" i="1"/>
  <c r="G18" i="1" s="1"/>
  <c r="F17" i="1"/>
  <c r="G17" i="1" s="1"/>
  <c r="F16" i="1"/>
  <c r="G16" i="1" s="1"/>
  <c r="F15" i="1"/>
  <c r="G15" i="1" s="1"/>
  <c r="F14" i="1"/>
  <c r="G14" i="1" s="1"/>
  <c r="F13" i="1"/>
  <c r="G13" i="1" s="1"/>
  <c r="F12" i="1"/>
  <c r="G12" i="1" s="1"/>
  <c r="F11" i="1"/>
  <c r="G11" i="1" s="1"/>
  <c r="F10" i="1"/>
  <c r="G10" i="1" s="1"/>
  <c r="F9" i="1"/>
  <c r="G9" i="1" s="1"/>
  <c r="F8" i="1"/>
  <c r="G8" i="1" s="1"/>
  <c r="F7" i="1"/>
  <c r="G7" i="1" s="1"/>
  <c r="F6" i="1"/>
  <c r="G6" i="1" s="1"/>
  <c r="F5" i="1"/>
  <c r="G5" i="1" s="1"/>
</calcChain>
</file>

<file path=xl/sharedStrings.xml><?xml version="1.0" encoding="utf-8"?>
<sst xmlns="http://schemas.openxmlformats.org/spreadsheetml/2006/main" count="131" uniqueCount="58">
  <si>
    <t>Oxygen 60 GHz Fine-Structure Line Parameters (Tretyakova et al., 2005)</t>
  </si>
  <si>
    <t>Combined Spectroscopic Dataset from Table 1 (RAD Measurements) &amp; Table 5 (Updated MPM Model Parameters)</t>
  </si>
  <si>
    <t>Quantum Transition (N±)</t>
  </si>
  <si>
    <t>Measured Freq. (MHz)</t>
  </si>
  <si>
    <t>Calc. Freq. mi (GHz)</t>
  </si>
  <si>
    <t>c_O2 Broadening (MHz/Torr)</t>
  </si>
  <si>
    <t>c_N2 Broadening (MHz/Torr)</t>
  </si>
  <si>
    <t>Calculated c_air (MHz/Torr)</t>
  </si>
  <si>
    <t>Calculated c_air (GHz/mbar)</t>
  </si>
  <si>
    <t>Intensity a1 (kHz/kPa)</t>
  </si>
  <si>
    <t>Intensity Exp. a2</t>
  </si>
  <si>
    <t>Width Coeff. a3 (GHz/10^5 Pa)</t>
  </si>
  <si>
    <t>Mixing Coeff. a5 (10^-5 Pa^-1)</t>
  </si>
  <si>
    <t>Temp. Corr. a6 (10^-5 Pa^-1)</t>
  </si>
  <si>
    <t>Data Source Notes</t>
  </si>
  <si>
    <t>1-</t>
  </si>
  <si>
    <t>Table 1 &amp; Table 5</t>
  </si>
  <si>
    <t>1+</t>
  </si>
  <si>
    <t>3-</t>
  </si>
  <si>
    <t>3+</t>
  </si>
  <si>
    <t>5-</t>
  </si>
  <si>
    <t>5+</t>
  </si>
  <si>
    <t>7-</t>
  </si>
  <si>
    <t>7+</t>
  </si>
  <si>
    <t>9-</t>
  </si>
  <si>
    <t>9+</t>
  </si>
  <si>
    <t>11-</t>
  </si>
  <si>
    <t>11+</t>
  </si>
  <si>
    <t>13-</t>
  </si>
  <si>
    <t>13+</t>
  </si>
  <si>
    <t>15-</t>
  </si>
  <si>
    <t>15+</t>
  </si>
  <si>
    <t>17-</t>
  </si>
  <si>
    <t>17+</t>
  </si>
  <si>
    <t>19-</t>
  </si>
  <si>
    <t>19+</t>
  </si>
  <si>
    <t>21-</t>
  </si>
  <si>
    <t>—</t>
  </si>
  <si>
    <t>Table 1 (O2 only) &amp; Table 5</t>
  </si>
  <si>
    <t>21+</t>
  </si>
  <si>
    <t>23-</t>
  </si>
  <si>
    <t>23+</t>
  </si>
  <si>
    <t>25-</t>
  </si>
  <si>
    <t>Table 1 (O2 est.) &amp; Table 5</t>
  </si>
  <si>
    <t>25+</t>
  </si>
  <si>
    <t>27-</t>
  </si>
  <si>
    <t>Table 5 (Calculated)</t>
  </si>
  <si>
    <t>27+</t>
  </si>
  <si>
    <t>29-</t>
  </si>
  <si>
    <t>29+</t>
  </si>
  <si>
    <t>31-</t>
  </si>
  <si>
    <t>31+</t>
  </si>
  <si>
    <t>33-</t>
  </si>
  <si>
    <t>33+</t>
  </si>
  <si>
    <t>35-</t>
  </si>
  <si>
    <t>35+</t>
  </si>
  <si>
    <t>37-</t>
  </si>
  <si>
    <t>37+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</si>
</sst>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0.000000"/>
    <numFmt numFmtId="166" formatCode="0.000"/>
    <numFmt numFmtId="167" formatCode="#,##0.0"/>
    <numFmt numFmtId="168" formatCode="0.0000"/>
  </numFmts>
  <fonts count="5">
    <font>
      <sz val="11"/>
      <color theme="1"/>
      <name val="Calibri"/>
      <family val="2"/>
      <scheme val="minor"/>
    </font>
    <font>
      <b/>
      <sz val="12"/>
      <color rgb="FFFFFFFF"/>
      <name val="Helvetica"/>
      <family val="2"/>
    </font>
    <font>
      <sz val="12"/>
      <color theme="1"/>
      <name val="Helvetica"/>
      <family val="2"/>
    </font>
    <font>
      <i/>
      <sz val="12"/>
      <color rgb="FF595959"/>
      <name val="Helvetica"/>
      <family val="2"/>
    </font>
    <font>
      <b/>
      <sz val="12"/>
      <name val="Helvetica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F5496"/>
        <bgColor rgb="FF2F5496"/>
      </patternFill>
    </fill>
    <fill>
      <patternFill patternType="solid">
        <fgColor rgb="FFFFFFFF"/>
        <bgColor rgb="FFFFFFFF"/>
      </patternFill>
    </fill>
    <fill>
      <patternFill patternType="solid">
        <fgColor rgb="FFF9FBFD"/>
        <bgColor rgb="FFF9FBF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medium">
        <color rgb="FF1F4E78"/>
      </top>
      <bottom style="medium">
        <color rgb="FF1F4E78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165" fontId="2" fillId="4" borderId="2" xfId="0" applyNumberFormat="1" applyFont="1" applyFill="1" applyBorder="1" applyAlignment="1">
      <alignment horizontal="right" vertical="center"/>
    </xf>
    <xf numFmtId="166" fontId="2" fillId="4" borderId="2" xfId="0" applyNumberFormat="1" applyFont="1" applyFill="1" applyBorder="1" applyAlignment="1">
      <alignment horizontal="right" vertical="center"/>
    </xf>
    <xf numFmtId="167" fontId="2" fillId="4" borderId="2" xfId="0" applyNumberFormat="1" applyFont="1" applyFill="1" applyBorder="1" applyAlignment="1">
      <alignment horizontal="right" vertical="center"/>
    </xf>
    <xf numFmtId="168" fontId="2" fillId="4" borderId="2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165" fontId="2" fillId="5" borderId="2" xfId="0" applyNumberFormat="1" applyFont="1" applyFill="1" applyBorder="1" applyAlignment="1">
      <alignment horizontal="right" vertical="center"/>
    </xf>
    <xf numFmtId="166" fontId="2" fillId="5" borderId="2" xfId="0" applyNumberFormat="1" applyFont="1" applyFill="1" applyBorder="1" applyAlignment="1">
      <alignment horizontal="right" vertical="center"/>
    </xf>
    <xf numFmtId="167" fontId="2" fillId="5" borderId="2" xfId="0" applyNumberFormat="1" applyFont="1" applyFill="1" applyBorder="1" applyAlignment="1">
      <alignment horizontal="right" vertical="center"/>
    </xf>
    <xf numFmtId="168" fontId="2" fillId="5" borderId="2" xfId="0" applyNumberFormat="1" applyFont="1" applyFill="1" applyBorder="1" applyAlignment="1">
      <alignment horizontal="right" vertical="center"/>
    </xf>
    <xf numFmtId="0" fontId="3" fillId="5" borderId="2" xfId="0" applyFont="1" applyFill="1" applyBorder="1" applyAlignment="1">
      <alignment horizontal="left" vertical="center"/>
    </xf>
    <xf numFmtId="166" fontId="2" fillId="0" borderId="0" xfId="0" applyNumberFormat="1" applyFont="1"/>
    <xf numFmtId="166" fontId="1" fillId="3" borderId="1" xfId="0" applyNumberFormat="1" applyFont="1" applyFill="1" applyBorder="1" applyAlignment="1">
      <alignment horizontal="center" vertical="center" wrapText="1"/>
    </xf>
    <xf numFmtId="166" fontId="0" fillId="0" borderId="0" xfId="0" applyNumberFormat="1"/>
    <xf numFmtId="165" fontId="2" fillId="0" borderId="0" xfId="0" applyNumberFormat="1" applyFont="1"/>
    <xf numFmtId="165" fontId="1" fillId="3" borderId="1" xfId="0" applyNumberFormat="1" applyFont="1" applyFill="1" applyBorder="1" applyAlignment="1">
      <alignment horizontal="center" vertic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workbookViewId="0">
      <pane xSplit="1" ySplit="4" topLeftCell="B21" activePane="bottomRight" state="frozen"/>
      <selection pane="topRight"/>
      <selection pane="bottomLeft"/>
      <selection pane="bottomRight" activeCell="B32" sqref="B32"/>
    </sheetView>
  </sheetViews>
  <sheetFormatPr baseColWidth="10" defaultColWidth="8.83203125" defaultRowHeight="15"/>
  <cols>
    <col min="1" max="1" width="18" customWidth="1"/>
    <col min="2" max="2" width="22" style="20" customWidth="1"/>
    <col min="3" max="3" width="22" style="23" customWidth="1"/>
    <col min="4" max="5" width="26" style="20" customWidth="1"/>
    <col min="6" max="7" width="25" customWidth="1"/>
    <col min="8" max="8" width="20" customWidth="1"/>
    <col min="9" max="9" width="18" customWidth="1"/>
    <col min="10" max="10" width="25" customWidth="1"/>
    <col min="11" max="12" width="26" customWidth="1"/>
    <col min="13" max="13" width="25" customWidth="1"/>
  </cols>
  <sheetData>
    <row r="1" spans="1:13" ht="3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0" customHeight="1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6">
      <c r="A3" s="4"/>
      <c r="B3" s="18"/>
      <c r="C3" s="21"/>
      <c r="D3" s="18"/>
      <c r="E3" s="18"/>
      <c r="F3" s="4"/>
      <c r="G3" s="4"/>
      <c r="H3" s="4"/>
      <c r="I3" s="4"/>
      <c r="J3" s="4"/>
      <c r="K3" s="4"/>
      <c r="L3" s="4"/>
      <c r="M3" s="4"/>
    </row>
    <row r="4" spans="1:13" ht="56" customHeight="1">
      <c r="A4" s="5" t="s">
        <v>2</v>
      </c>
      <c r="B4" s="19" t="s">
        <v>3</v>
      </c>
      <c r="C4" s="22" t="s">
        <v>4</v>
      </c>
      <c r="D4" s="19" t="s">
        <v>5</v>
      </c>
      <c r="E4" s="19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</row>
    <row r="5" spans="1:13" ht="20" customHeight="1">
      <c r="A5" s="6" t="s">
        <v>15</v>
      </c>
      <c r="B5" s="8">
        <v>118750.34</v>
      </c>
      <c r="C5" s="7">
        <v>118.750334</v>
      </c>
      <c r="D5" s="8">
        <v>2.23</v>
      </c>
      <c r="E5" s="8">
        <v>2.2450000000000001</v>
      </c>
      <c r="F5" s="8">
        <f t="shared" ref="F5:F42" si="0">IF(AND(ISNUMBER(D5), ISNUMBER(E5)), 0.21*D5 + 0.79*E5, "")</f>
        <v>2.2418500000000003</v>
      </c>
      <c r="G5" s="7">
        <f t="shared" ref="G5:G42" si="1">IF(ISNUMBER(F5), F5*0.000750062, "")</f>
        <v>1.6815264947000004E-3</v>
      </c>
      <c r="H5" s="9">
        <v>940.3</v>
      </c>
      <c r="I5" s="8">
        <v>0.01</v>
      </c>
      <c r="J5" s="8">
        <v>1.6639999999999999</v>
      </c>
      <c r="K5" s="10">
        <v>-4.3900000000000002E-2</v>
      </c>
      <c r="L5" s="10">
        <v>7.9000000000000008E-3</v>
      </c>
      <c r="M5" s="11" t="s">
        <v>16</v>
      </c>
    </row>
    <row r="6" spans="1:13" ht="20" customHeight="1">
      <c r="A6" s="12" t="s">
        <v>17</v>
      </c>
      <c r="B6" s="14">
        <v>56264.773999999998</v>
      </c>
      <c r="C6" s="13">
        <v>56.264774000000003</v>
      </c>
      <c r="D6" s="14">
        <v>2.238</v>
      </c>
      <c r="E6" s="14">
        <v>2.31</v>
      </c>
      <c r="F6" s="14">
        <f t="shared" si="0"/>
        <v>2.29488</v>
      </c>
      <c r="G6" s="13">
        <f t="shared" si="1"/>
        <v>1.72130228256E-3</v>
      </c>
      <c r="H6" s="15">
        <v>543.4</v>
      </c>
      <c r="I6" s="14">
        <v>1.4E-2</v>
      </c>
      <c r="J6" s="14">
        <v>1.7030000000000001</v>
      </c>
      <c r="K6" s="16">
        <v>0.35249999999999998</v>
      </c>
      <c r="L6" s="16">
        <v>-9.7799999999999998E-2</v>
      </c>
      <c r="M6" s="17" t="s">
        <v>16</v>
      </c>
    </row>
    <row r="7" spans="1:13" ht="20" customHeight="1">
      <c r="A7" s="6" t="s">
        <v>18</v>
      </c>
      <c r="B7" s="8">
        <v>62486.256000000001</v>
      </c>
      <c r="C7" s="7">
        <v>62.486252999999998</v>
      </c>
      <c r="D7" s="8">
        <v>2.0670000000000002</v>
      </c>
      <c r="E7" s="8">
        <v>2.032</v>
      </c>
      <c r="F7" s="8">
        <f t="shared" si="0"/>
        <v>2.0393500000000002</v>
      </c>
      <c r="G7" s="7">
        <f t="shared" si="1"/>
        <v>1.5296389397000002E-3</v>
      </c>
      <c r="H7" s="9">
        <v>1503</v>
      </c>
      <c r="I7" s="8">
        <v>8.3000000000000004E-2</v>
      </c>
      <c r="J7" s="8">
        <v>1.5129999999999999</v>
      </c>
      <c r="K7" s="10">
        <v>-0.44990000000000002</v>
      </c>
      <c r="L7" s="10">
        <v>8.4400000000000003E-2</v>
      </c>
      <c r="M7" s="11" t="s">
        <v>16</v>
      </c>
    </row>
    <row r="8" spans="1:13" ht="20" customHeight="1">
      <c r="A8" s="12" t="s">
        <v>19</v>
      </c>
      <c r="B8" s="14">
        <v>58446.584999999999</v>
      </c>
      <c r="C8" s="13">
        <v>58.446587999999998</v>
      </c>
      <c r="D8" s="14">
        <v>2.0110000000000001</v>
      </c>
      <c r="E8" s="14">
        <v>2.008</v>
      </c>
      <c r="F8" s="14">
        <f t="shared" si="0"/>
        <v>2.0086300000000001</v>
      </c>
      <c r="G8" s="13">
        <f t="shared" si="1"/>
        <v>1.5065970350600002E-3</v>
      </c>
      <c r="H8" s="15">
        <v>1442.1</v>
      </c>
      <c r="I8" s="14">
        <v>8.3000000000000004E-2</v>
      </c>
      <c r="J8" s="14">
        <v>1.4910000000000001</v>
      </c>
      <c r="K8" s="16">
        <v>0.67679999999999996</v>
      </c>
      <c r="L8" s="16">
        <v>-0.1273</v>
      </c>
      <c r="M8" s="17" t="s">
        <v>16</v>
      </c>
    </row>
    <row r="9" spans="1:13" ht="20" customHeight="1">
      <c r="A9" s="6" t="s">
        <v>20</v>
      </c>
      <c r="B9" s="8">
        <v>60306.053</v>
      </c>
      <c r="C9" s="7">
        <v>60.306055999999998</v>
      </c>
      <c r="D9" s="8">
        <v>1.92</v>
      </c>
      <c r="E9" s="8">
        <v>1.9039999999999999</v>
      </c>
      <c r="F9" s="8">
        <f t="shared" si="0"/>
        <v>1.9073599999999999</v>
      </c>
      <c r="G9" s="7">
        <f t="shared" si="1"/>
        <v>1.4306382563200001E-3</v>
      </c>
      <c r="H9" s="9">
        <v>2103.4</v>
      </c>
      <c r="I9" s="8">
        <v>0.20699999999999999</v>
      </c>
      <c r="J9" s="8">
        <v>1.415</v>
      </c>
      <c r="K9" s="10">
        <v>-0.63949999999999996</v>
      </c>
      <c r="L9" s="10">
        <v>6.9900000000000004E-2</v>
      </c>
      <c r="M9" s="11" t="s">
        <v>16</v>
      </c>
    </row>
    <row r="10" spans="1:13" ht="20" customHeight="1">
      <c r="A10" s="12" t="s">
        <v>21</v>
      </c>
      <c r="B10" s="14">
        <v>59590.983</v>
      </c>
      <c r="C10" s="13">
        <v>59.590983000000001</v>
      </c>
      <c r="D10" s="14">
        <v>1.89</v>
      </c>
      <c r="E10" s="14">
        <v>1.9</v>
      </c>
      <c r="F10" s="14">
        <f t="shared" si="0"/>
        <v>1.8978999999999999</v>
      </c>
      <c r="G10" s="13">
        <f t="shared" si="1"/>
        <v>1.4235426698E-3</v>
      </c>
      <c r="H10" s="15">
        <v>2090.6999999999998</v>
      </c>
      <c r="I10" s="14">
        <v>0.20699999999999999</v>
      </c>
      <c r="J10" s="14">
        <v>1.4079999999999999</v>
      </c>
      <c r="K10" s="16">
        <v>0.69569999999999999</v>
      </c>
      <c r="L10" s="16">
        <v>-7.7600000000000002E-2</v>
      </c>
      <c r="M10" s="17" t="s">
        <v>16</v>
      </c>
    </row>
    <row r="11" spans="1:13" ht="20" customHeight="1">
      <c r="A11" s="6" t="s">
        <v>22</v>
      </c>
      <c r="B11" s="8">
        <v>59164.203999999998</v>
      </c>
      <c r="C11" s="7">
        <v>59.164203999999998</v>
      </c>
      <c r="D11" s="8">
        <v>1.8340000000000001</v>
      </c>
      <c r="E11" s="8">
        <v>1.82</v>
      </c>
      <c r="F11" s="8">
        <f t="shared" si="0"/>
        <v>1.8229400000000002</v>
      </c>
      <c r="G11" s="7">
        <f t="shared" si="1"/>
        <v>1.3673180222800003E-3</v>
      </c>
      <c r="H11" s="9">
        <v>2379.9</v>
      </c>
      <c r="I11" s="8">
        <v>0.38700000000000001</v>
      </c>
      <c r="J11" s="8">
        <v>1.353</v>
      </c>
      <c r="K11" s="10">
        <v>-0.65610000000000002</v>
      </c>
      <c r="L11" s="10">
        <v>0.23089999999999999</v>
      </c>
      <c r="M11" s="11" t="s">
        <v>16</v>
      </c>
    </row>
    <row r="12" spans="1:13" ht="20" customHeight="1">
      <c r="A12" s="12" t="s">
        <v>23</v>
      </c>
      <c r="B12" s="14">
        <v>60434.777000000002</v>
      </c>
      <c r="C12" s="13">
        <v>60.434778000000001</v>
      </c>
      <c r="D12" s="14">
        <v>1.8160000000000001</v>
      </c>
      <c r="E12" s="14">
        <v>1.802</v>
      </c>
      <c r="F12" s="14">
        <f t="shared" si="0"/>
        <v>1.80494</v>
      </c>
      <c r="G12" s="13">
        <f t="shared" si="1"/>
        <v>1.3538169062799999E-3</v>
      </c>
      <c r="H12" s="15">
        <v>2438</v>
      </c>
      <c r="I12" s="14">
        <v>0.38600000000000001</v>
      </c>
      <c r="J12" s="14">
        <v>1.339</v>
      </c>
      <c r="K12" s="16">
        <v>0.63419999999999999</v>
      </c>
      <c r="L12" s="16">
        <v>-0.28249999999999997</v>
      </c>
      <c r="M12" s="17" t="s">
        <v>16</v>
      </c>
    </row>
    <row r="13" spans="1:13" ht="20" customHeight="1">
      <c r="A13" s="6" t="s">
        <v>24</v>
      </c>
      <c r="B13" s="8">
        <v>58323.875999999997</v>
      </c>
      <c r="C13" s="7">
        <v>58.323877000000003</v>
      </c>
      <c r="D13" s="8">
        <v>1.7629999999999999</v>
      </c>
      <c r="E13" s="8">
        <v>1.74</v>
      </c>
      <c r="F13" s="8">
        <f t="shared" si="0"/>
        <v>1.7448299999999999</v>
      </c>
      <c r="G13" s="7">
        <f t="shared" si="1"/>
        <v>1.3087306794599999E-3</v>
      </c>
      <c r="H13" s="9">
        <v>2363.6999999999998</v>
      </c>
      <c r="I13" s="8">
        <v>0.621</v>
      </c>
      <c r="J13" s="8">
        <v>1.2949999999999999</v>
      </c>
      <c r="K13" s="10">
        <v>-0.19320000000000001</v>
      </c>
      <c r="L13" s="10">
        <v>4.36E-2</v>
      </c>
      <c r="M13" s="11" t="s">
        <v>16</v>
      </c>
    </row>
    <row r="14" spans="1:13" ht="20" customHeight="1">
      <c r="A14" s="12" t="s">
        <v>25</v>
      </c>
      <c r="B14" s="14">
        <v>61150.563000000002</v>
      </c>
      <c r="C14" s="13">
        <v>61.150562000000001</v>
      </c>
      <c r="D14" s="14">
        <v>1.7669999999999999</v>
      </c>
      <c r="E14" s="14">
        <v>1.734</v>
      </c>
      <c r="F14" s="14">
        <f t="shared" si="0"/>
        <v>1.7409300000000001</v>
      </c>
      <c r="G14" s="13">
        <f t="shared" si="1"/>
        <v>1.3058054376600002E-3</v>
      </c>
      <c r="H14" s="15">
        <v>2479.5</v>
      </c>
      <c r="I14" s="14">
        <v>0.621</v>
      </c>
      <c r="J14" s="14">
        <v>1.292</v>
      </c>
      <c r="K14" s="16">
        <v>0.1014</v>
      </c>
      <c r="L14" s="16">
        <v>-5.8400000000000001E-2</v>
      </c>
      <c r="M14" s="17" t="s">
        <v>16</v>
      </c>
    </row>
    <row r="15" spans="1:13" ht="20" customHeight="1">
      <c r="A15" s="6" t="s">
        <v>26</v>
      </c>
      <c r="B15" s="8">
        <v>57612.487000000001</v>
      </c>
      <c r="C15" s="7">
        <v>57.612485999999997</v>
      </c>
      <c r="D15" s="8">
        <v>1.7430000000000001</v>
      </c>
      <c r="E15" s="8">
        <v>1.6890000000000001</v>
      </c>
      <c r="F15" s="8">
        <f t="shared" si="0"/>
        <v>1.7003400000000002</v>
      </c>
      <c r="G15" s="7">
        <f t="shared" si="1"/>
        <v>1.2753604210800002E-3</v>
      </c>
      <c r="H15" s="9">
        <v>2120.1</v>
      </c>
      <c r="I15" s="8">
        <v>0.91</v>
      </c>
      <c r="J15" s="8">
        <v>1.262</v>
      </c>
      <c r="K15" s="10">
        <v>-0.54159999999999997</v>
      </c>
      <c r="L15" s="10">
        <v>0.60560000000000003</v>
      </c>
      <c r="M15" s="11" t="s">
        <v>16</v>
      </c>
    </row>
    <row r="16" spans="1:13" ht="20" customHeight="1">
      <c r="A16" s="12" t="s">
        <v>27</v>
      </c>
      <c r="B16" s="14">
        <v>61800.152999999998</v>
      </c>
      <c r="C16" s="13">
        <v>61.800158000000003</v>
      </c>
      <c r="D16" s="14">
        <v>1.7470000000000001</v>
      </c>
      <c r="E16" s="14">
        <v>1.69</v>
      </c>
      <c r="F16" s="14">
        <f t="shared" si="0"/>
        <v>1.70197</v>
      </c>
      <c r="G16" s="13">
        <f t="shared" si="1"/>
        <v>1.2765830221400001E-3</v>
      </c>
      <c r="H16" s="15">
        <v>2275.9</v>
      </c>
      <c r="I16" s="14">
        <v>0.91</v>
      </c>
      <c r="J16" s="14">
        <v>1.2629999999999999</v>
      </c>
      <c r="K16" s="16">
        <v>0.50139999999999996</v>
      </c>
      <c r="L16" s="16">
        <v>-0.66190000000000004</v>
      </c>
      <c r="M16" s="17" t="s">
        <v>16</v>
      </c>
    </row>
    <row r="17" spans="1:13" ht="20" customHeight="1">
      <c r="A17" s="6" t="s">
        <v>28</v>
      </c>
      <c r="B17" s="8">
        <v>56968.212</v>
      </c>
      <c r="C17" s="7">
        <v>56.968210999999997</v>
      </c>
      <c r="D17" s="8">
        <v>1.6930000000000001</v>
      </c>
      <c r="E17" s="8">
        <v>1.637</v>
      </c>
      <c r="F17" s="8">
        <f t="shared" si="0"/>
        <v>1.6487600000000002</v>
      </c>
      <c r="G17" s="7">
        <f t="shared" si="1"/>
        <v>1.2366722231200002E-3</v>
      </c>
      <c r="H17" s="9">
        <v>1746.6</v>
      </c>
      <c r="I17" s="8">
        <v>1.2549999999999999</v>
      </c>
      <c r="J17" s="8">
        <v>1.2230000000000001</v>
      </c>
      <c r="K17" s="10">
        <v>-0.35449999999999998</v>
      </c>
      <c r="L17" s="10">
        <v>0.64510000000000001</v>
      </c>
      <c r="M17" s="11" t="s">
        <v>16</v>
      </c>
    </row>
    <row r="18" spans="1:13" ht="20" customHeight="1">
      <c r="A18" s="12" t="s">
        <v>29</v>
      </c>
      <c r="B18" s="14">
        <v>62411.220999999998</v>
      </c>
      <c r="C18" s="13">
        <v>62.41122</v>
      </c>
      <c r="D18" s="14">
        <v>1.7010000000000001</v>
      </c>
      <c r="E18" s="14">
        <v>1.6240000000000001</v>
      </c>
      <c r="F18" s="14">
        <f t="shared" si="0"/>
        <v>1.6401700000000001</v>
      </c>
      <c r="G18" s="13">
        <f t="shared" si="1"/>
        <v>1.2302291905400002E-3</v>
      </c>
      <c r="H18" s="15">
        <v>1915.4</v>
      </c>
      <c r="I18" s="14">
        <v>1.2549999999999999</v>
      </c>
      <c r="J18" s="14">
        <v>1.2170000000000001</v>
      </c>
      <c r="K18" s="16">
        <v>0.3029</v>
      </c>
      <c r="L18" s="16">
        <v>-0.67589999999999995</v>
      </c>
      <c r="M18" s="17" t="s">
        <v>16</v>
      </c>
    </row>
    <row r="19" spans="1:13" ht="20" customHeight="1">
      <c r="A19" s="6" t="s">
        <v>30</v>
      </c>
      <c r="B19" s="8">
        <v>56363.396999999997</v>
      </c>
      <c r="C19" s="7">
        <v>56.363399000000001</v>
      </c>
      <c r="D19" s="8">
        <v>1.673</v>
      </c>
      <c r="E19" s="8">
        <v>1.5840000000000001</v>
      </c>
      <c r="F19" s="8">
        <f t="shared" si="0"/>
        <v>1.6026899999999999</v>
      </c>
      <c r="G19" s="7">
        <f t="shared" si="1"/>
        <v>1.20211686678E-3</v>
      </c>
      <c r="H19" s="9">
        <v>1331.8</v>
      </c>
      <c r="I19" s="8">
        <v>1.6539999999999999</v>
      </c>
      <c r="J19" s="8">
        <v>1.1890000000000001</v>
      </c>
      <c r="K19" s="10">
        <v>-0.23780000000000001</v>
      </c>
      <c r="L19" s="10">
        <v>0.65469999999999995</v>
      </c>
      <c r="M19" s="11" t="s">
        <v>16</v>
      </c>
    </row>
    <row r="20" spans="1:13" ht="20" customHeight="1">
      <c r="A20" s="12" t="s">
        <v>31</v>
      </c>
      <c r="B20" s="14">
        <v>62997.983999999997</v>
      </c>
      <c r="C20" s="13">
        <v>62.997984000000002</v>
      </c>
      <c r="D20" s="14">
        <v>1.6679999999999999</v>
      </c>
      <c r="E20" s="14">
        <v>1.5589999999999999</v>
      </c>
      <c r="F20" s="14">
        <f t="shared" si="0"/>
        <v>1.58189</v>
      </c>
      <c r="G20" s="13">
        <f t="shared" si="1"/>
        <v>1.1865155771799999E-3</v>
      </c>
      <c r="H20" s="15">
        <v>1490.2</v>
      </c>
      <c r="I20" s="14">
        <v>1.6539999999999999</v>
      </c>
      <c r="J20" s="14">
        <v>1.1739999999999999</v>
      </c>
      <c r="K20" s="16">
        <v>0.18559999999999999</v>
      </c>
      <c r="L20" s="16">
        <v>-0.66749999999999998</v>
      </c>
      <c r="M20" s="17" t="s">
        <v>16</v>
      </c>
    </row>
    <row r="21" spans="1:13" ht="20" customHeight="1">
      <c r="A21" s="6" t="s">
        <v>32</v>
      </c>
      <c r="B21" s="8">
        <v>55783.813000000002</v>
      </c>
      <c r="C21" s="7">
        <v>55.783814999999997</v>
      </c>
      <c r="D21" s="8">
        <v>1.6240000000000001</v>
      </c>
      <c r="E21" s="8">
        <v>1.502</v>
      </c>
      <c r="F21" s="8">
        <f t="shared" si="0"/>
        <v>1.52762</v>
      </c>
      <c r="G21" s="7">
        <f t="shared" si="1"/>
        <v>1.14580971244E-3</v>
      </c>
      <c r="H21" s="9">
        <v>945.3</v>
      </c>
      <c r="I21" s="8">
        <v>2.109</v>
      </c>
      <c r="J21" s="8">
        <v>1.1339999999999999</v>
      </c>
      <c r="K21" s="10">
        <v>-0.1172</v>
      </c>
      <c r="L21" s="10">
        <v>0.61350000000000005</v>
      </c>
      <c r="M21" s="11" t="s">
        <v>16</v>
      </c>
    </row>
    <row r="22" spans="1:13" ht="20" customHeight="1">
      <c r="A22" s="12" t="s">
        <v>33</v>
      </c>
      <c r="B22" s="14">
        <v>63568.523999999998</v>
      </c>
      <c r="C22" s="13">
        <v>63.568525999999999</v>
      </c>
      <c r="D22" s="14">
        <v>1.619</v>
      </c>
      <c r="E22" s="14">
        <v>1.504</v>
      </c>
      <c r="F22" s="14">
        <f t="shared" si="0"/>
        <v>1.5281500000000001</v>
      </c>
      <c r="G22" s="13">
        <f t="shared" si="1"/>
        <v>1.1462072453000001E-3</v>
      </c>
      <c r="H22" s="15">
        <v>1078</v>
      </c>
      <c r="I22" s="14">
        <v>2.1080000000000001</v>
      </c>
      <c r="J22" s="14">
        <v>1.1339999999999999</v>
      </c>
      <c r="K22" s="16">
        <v>6.5799999999999997E-2</v>
      </c>
      <c r="L22" s="16">
        <v>-0.6139</v>
      </c>
      <c r="M22" s="17" t="s">
        <v>16</v>
      </c>
    </row>
    <row r="23" spans="1:13" ht="20" customHeight="1">
      <c r="A23" s="6" t="s">
        <v>34</v>
      </c>
      <c r="B23" s="8">
        <v>55221.385999999999</v>
      </c>
      <c r="C23" s="7">
        <v>55.221384</v>
      </c>
      <c r="D23" s="8">
        <v>1.5860000000000001</v>
      </c>
      <c r="E23" s="8">
        <v>1.452</v>
      </c>
      <c r="F23" s="8">
        <f t="shared" si="0"/>
        <v>1.48014</v>
      </c>
      <c r="G23" s="7">
        <f t="shared" si="1"/>
        <v>1.11019676868E-3</v>
      </c>
      <c r="H23" s="9">
        <v>627.1</v>
      </c>
      <c r="I23" s="8">
        <v>2.6179999999999999</v>
      </c>
      <c r="J23" s="8">
        <v>1.089</v>
      </c>
      <c r="K23" s="10">
        <v>0.25600000000000001</v>
      </c>
      <c r="L23" s="10">
        <v>0.29520000000000002</v>
      </c>
      <c r="M23" s="11" t="s">
        <v>16</v>
      </c>
    </row>
    <row r="24" spans="1:13" ht="20" customHeight="1">
      <c r="A24" s="12" t="s">
        <v>35</v>
      </c>
      <c r="B24" s="14">
        <v>64127.777000000002</v>
      </c>
      <c r="C24" s="13">
        <v>64.127775</v>
      </c>
      <c r="D24" s="14">
        <v>1.577</v>
      </c>
      <c r="E24" s="14">
        <v>1.421</v>
      </c>
      <c r="F24" s="14">
        <f t="shared" si="0"/>
        <v>1.4537599999999999</v>
      </c>
      <c r="G24" s="13">
        <f t="shared" si="1"/>
        <v>1.09041013312E-3</v>
      </c>
      <c r="H24" s="15">
        <v>728.7</v>
      </c>
      <c r="I24" s="14">
        <v>2.617</v>
      </c>
      <c r="J24" s="14">
        <v>1.0880000000000001</v>
      </c>
      <c r="K24" s="16">
        <v>-0.30359999999999998</v>
      </c>
      <c r="L24" s="16">
        <v>-0.28949999999999998</v>
      </c>
      <c r="M24" s="17" t="s">
        <v>16</v>
      </c>
    </row>
    <row r="25" spans="1:13" ht="20" customHeight="1">
      <c r="A25" s="6" t="s">
        <v>36</v>
      </c>
      <c r="B25" s="8">
        <v>54671.184000000001</v>
      </c>
      <c r="C25" s="7">
        <v>54.67118</v>
      </c>
      <c r="D25" s="8">
        <v>1.5409999999999999</v>
      </c>
      <c r="E25" s="8" t="s">
        <v>37</v>
      </c>
      <c r="F25" s="8" t="str">
        <f t="shared" si="0"/>
        <v/>
      </c>
      <c r="G25" s="7" t="str">
        <f t="shared" si="1"/>
        <v/>
      </c>
      <c r="H25" s="9">
        <v>389.7</v>
      </c>
      <c r="I25" s="8">
        <v>3.1819999999999999</v>
      </c>
      <c r="J25" s="8">
        <v>1.0369999999999999</v>
      </c>
      <c r="K25" s="10">
        <v>0.35580000000000001</v>
      </c>
      <c r="L25" s="10">
        <v>0.26540000000000002</v>
      </c>
      <c r="M25" s="11" t="s">
        <v>38</v>
      </c>
    </row>
    <row r="26" spans="1:13" ht="20" customHeight="1">
      <c r="A26" s="12" t="s">
        <v>39</v>
      </c>
      <c r="B26" s="14">
        <v>64678.911999999997</v>
      </c>
      <c r="C26" s="13">
        <v>64.678910000000002</v>
      </c>
      <c r="D26" s="14">
        <v>1.542</v>
      </c>
      <c r="E26" s="14" t="s">
        <v>37</v>
      </c>
      <c r="F26" s="14" t="str">
        <f t="shared" si="0"/>
        <v/>
      </c>
      <c r="G26" s="13" t="str">
        <f t="shared" si="1"/>
        <v/>
      </c>
      <c r="H26" s="15">
        <v>461.3</v>
      </c>
      <c r="I26" s="14">
        <v>3.181</v>
      </c>
      <c r="J26" s="14">
        <v>1.038</v>
      </c>
      <c r="K26" s="16">
        <v>-0.39679999999999999</v>
      </c>
      <c r="L26" s="16">
        <v>-0.25900000000000001</v>
      </c>
      <c r="M26" s="17" t="s">
        <v>38</v>
      </c>
    </row>
    <row r="27" spans="1:13" ht="20" customHeight="1">
      <c r="A27" s="6" t="s">
        <v>40</v>
      </c>
      <c r="B27" s="8">
        <v>54130.031000000003</v>
      </c>
      <c r="C27" s="7">
        <v>54.130025000000003</v>
      </c>
      <c r="D27" s="8">
        <v>1.52</v>
      </c>
      <c r="E27" s="8" t="s">
        <v>37</v>
      </c>
      <c r="F27" s="8" t="str">
        <f t="shared" si="0"/>
        <v/>
      </c>
      <c r="G27" s="7" t="str">
        <f t="shared" si="1"/>
        <v/>
      </c>
      <c r="H27" s="9">
        <v>227.3</v>
      </c>
      <c r="I27" s="8">
        <v>3.8</v>
      </c>
      <c r="J27" s="8">
        <v>0.996</v>
      </c>
      <c r="K27" s="10">
        <v>0.317</v>
      </c>
      <c r="L27" s="10">
        <v>0.375</v>
      </c>
      <c r="M27" s="11" t="s">
        <v>38</v>
      </c>
    </row>
    <row r="28" spans="1:13" ht="20" customHeight="1">
      <c r="A28" s="12" t="s">
        <v>41</v>
      </c>
      <c r="B28" s="14">
        <v>65224.076999999997</v>
      </c>
      <c r="C28" s="13">
        <v>65.224078000000006</v>
      </c>
      <c r="D28" s="14">
        <v>1.484</v>
      </c>
      <c r="E28" s="14" t="s">
        <v>37</v>
      </c>
      <c r="F28" s="14" t="str">
        <f t="shared" si="0"/>
        <v/>
      </c>
      <c r="G28" s="13" t="str">
        <f t="shared" si="1"/>
        <v/>
      </c>
      <c r="H28" s="15">
        <v>274</v>
      </c>
      <c r="I28" s="14">
        <v>3.8</v>
      </c>
      <c r="J28" s="14">
        <v>0.996</v>
      </c>
      <c r="K28" s="16">
        <v>-0.3528</v>
      </c>
      <c r="L28" s="16">
        <v>-0.36799999999999999</v>
      </c>
      <c r="M28" s="17" t="s">
        <v>38</v>
      </c>
    </row>
    <row r="29" spans="1:13" ht="20" customHeight="1">
      <c r="A29" s="6" t="s">
        <v>42</v>
      </c>
      <c r="B29" s="8">
        <v>53595.777000000002</v>
      </c>
      <c r="C29" s="7">
        <v>53.595775000000003</v>
      </c>
      <c r="D29" s="8">
        <v>1.464</v>
      </c>
      <c r="E29" s="8" t="s">
        <v>37</v>
      </c>
      <c r="F29" s="8" t="str">
        <f t="shared" si="0"/>
        <v/>
      </c>
      <c r="G29" s="7" t="str">
        <f t="shared" si="1"/>
        <v/>
      </c>
      <c r="H29" s="9">
        <v>124.6</v>
      </c>
      <c r="I29" s="8">
        <v>4.4740000000000002</v>
      </c>
      <c r="J29" s="8">
        <v>0.95499999999999996</v>
      </c>
      <c r="K29" s="10">
        <v>0.22270000000000001</v>
      </c>
      <c r="L29" s="10">
        <v>0.50849999999999995</v>
      </c>
      <c r="M29" s="11" t="s">
        <v>43</v>
      </c>
    </row>
    <row r="30" spans="1:13" ht="20" customHeight="1">
      <c r="A30" s="12" t="s">
        <v>44</v>
      </c>
      <c r="B30" s="14">
        <v>65764.774000000005</v>
      </c>
      <c r="C30" s="13">
        <v>65.764779000000004</v>
      </c>
      <c r="D30" s="14">
        <v>1.46</v>
      </c>
      <c r="E30" s="14" t="s">
        <v>37</v>
      </c>
      <c r="F30" s="14" t="str">
        <f t="shared" si="0"/>
        <v/>
      </c>
      <c r="G30" s="13" t="str">
        <f t="shared" si="1"/>
        <v/>
      </c>
      <c r="H30" s="15">
        <v>153</v>
      </c>
      <c r="I30" s="14">
        <v>4.4729999999999999</v>
      </c>
      <c r="J30" s="14">
        <v>0.95499999999999996</v>
      </c>
      <c r="K30" s="16">
        <v>-0.25480000000000003</v>
      </c>
      <c r="L30" s="16">
        <v>-0.50019999999999998</v>
      </c>
      <c r="M30" s="17" t="s">
        <v>43</v>
      </c>
    </row>
    <row r="31" spans="1:13" ht="20" customHeight="1">
      <c r="A31" s="6" t="s">
        <v>45</v>
      </c>
      <c r="B31" s="8" t="s">
        <v>37</v>
      </c>
      <c r="C31" s="7">
        <v>53.066934000000003</v>
      </c>
      <c r="D31" s="8" t="s">
        <v>37</v>
      </c>
      <c r="E31" s="8" t="s">
        <v>37</v>
      </c>
      <c r="F31" s="8" t="str">
        <f t="shared" si="0"/>
        <v/>
      </c>
      <c r="G31" s="7" t="str">
        <f t="shared" si="1"/>
        <v/>
      </c>
      <c r="H31" s="9">
        <v>64.290000000000006</v>
      </c>
      <c r="I31" s="8">
        <v>5.2009999999999996</v>
      </c>
      <c r="J31" s="8">
        <v>0.90600000000000003</v>
      </c>
      <c r="K31" s="10">
        <v>0.13489999999999999</v>
      </c>
      <c r="L31" s="10">
        <v>0.62060000000000004</v>
      </c>
      <c r="M31" s="11" t="s">
        <v>46</v>
      </c>
    </row>
    <row r="32" spans="1:13" ht="20" customHeight="1">
      <c r="A32" s="12" t="s">
        <v>47</v>
      </c>
      <c r="B32" s="14">
        <v>66302.097999999998</v>
      </c>
      <c r="C32" s="13">
        <v>66.302096000000006</v>
      </c>
      <c r="D32" s="14">
        <v>1.399</v>
      </c>
      <c r="E32" s="14" t="s">
        <v>37</v>
      </c>
      <c r="F32" s="14" t="str">
        <f t="shared" si="0"/>
        <v/>
      </c>
      <c r="G32" s="13" t="str">
        <f t="shared" si="1"/>
        <v/>
      </c>
      <c r="H32" s="15">
        <v>80.400000000000006</v>
      </c>
      <c r="I32" s="14">
        <v>5.2</v>
      </c>
      <c r="J32" s="14">
        <v>0.90600000000000003</v>
      </c>
      <c r="K32" s="16">
        <v>-0.16600000000000001</v>
      </c>
      <c r="L32" s="16">
        <v>-0.60909999999999997</v>
      </c>
      <c r="M32" s="17" t="s">
        <v>43</v>
      </c>
    </row>
    <row r="33" spans="1:13" ht="20" customHeight="1">
      <c r="A33" s="6" t="s">
        <v>48</v>
      </c>
      <c r="B33" s="8" t="s">
        <v>37</v>
      </c>
      <c r="C33" s="7">
        <v>52.542417999999998</v>
      </c>
      <c r="D33" s="8" t="s">
        <v>37</v>
      </c>
      <c r="E33" s="8" t="s">
        <v>37</v>
      </c>
      <c r="F33" s="8" t="str">
        <f t="shared" si="0"/>
        <v/>
      </c>
      <c r="G33" s="7" t="str">
        <f t="shared" si="1"/>
        <v/>
      </c>
      <c r="H33" s="9">
        <v>31.24</v>
      </c>
      <c r="I33" s="8">
        <v>5.9829999999999997</v>
      </c>
      <c r="J33" s="8">
        <v>0.85799999999999998</v>
      </c>
      <c r="K33" s="10">
        <v>0.13880000000000001</v>
      </c>
      <c r="L33" s="10">
        <v>0.65259999999999996</v>
      </c>
      <c r="M33" s="11" t="s">
        <v>46</v>
      </c>
    </row>
    <row r="34" spans="1:13" ht="20" customHeight="1">
      <c r="A34" s="12" t="s">
        <v>49</v>
      </c>
      <c r="B34" s="14" t="s">
        <v>37</v>
      </c>
      <c r="C34" s="13">
        <v>66.836833999999996</v>
      </c>
      <c r="D34" s="14" t="s">
        <v>37</v>
      </c>
      <c r="E34" s="14" t="s">
        <v>37</v>
      </c>
      <c r="F34" s="14" t="str">
        <f t="shared" si="0"/>
        <v/>
      </c>
      <c r="G34" s="13" t="str">
        <f t="shared" si="1"/>
        <v/>
      </c>
      <c r="H34" s="15">
        <v>39.799999999999997</v>
      </c>
      <c r="I34" s="14">
        <v>5.9820000000000002</v>
      </c>
      <c r="J34" s="14">
        <v>0.85799999999999998</v>
      </c>
      <c r="K34" s="16">
        <v>-0.16800000000000001</v>
      </c>
      <c r="L34" s="16">
        <v>-0.63929999999999998</v>
      </c>
      <c r="M34" s="17" t="s">
        <v>46</v>
      </c>
    </row>
    <row r="35" spans="1:13" ht="20" customHeight="1">
      <c r="A35" s="6" t="s">
        <v>50</v>
      </c>
      <c r="B35" s="8" t="s">
        <v>37</v>
      </c>
      <c r="C35" s="7">
        <v>52.021428999999998</v>
      </c>
      <c r="D35" s="8" t="s">
        <v>37</v>
      </c>
      <c r="E35" s="8" t="s">
        <v>37</v>
      </c>
      <c r="F35" s="8" t="str">
        <f t="shared" si="0"/>
        <v/>
      </c>
      <c r="G35" s="7" t="str">
        <f t="shared" si="1"/>
        <v/>
      </c>
      <c r="H35" s="9">
        <v>14.32</v>
      </c>
      <c r="I35" s="8">
        <v>6.819</v>
      </c>
      <c r="J35" s="8">
        <v>0.81100000000000005</v>
      </c>
      <c r="K35" s="10">
        <v>0.16669999999999999</v>
      </c>
      <c r="L35" s="10">
        <v>0.66400000000000003</v>
      </c>
      <c r="M35" s="11" t="s">
        <v>46</v>
      </c>
    </row>
    <row r="36" spans="1:13" ht="20" customHeight="1">
      <c r="A36" s="12" t="s">
        <v>51</v>
      </c>
      <c r="B36" s="14" t="s">
        <v>37</v>
      </c>
      <c r="C36" s="13">
        <v>67.369601000000003</v>
      </c>
      <c r="D36" s="14" t="s">
        <v>37</v>
      </c>
      <c r="E36" s="14" t="s">
        <v>37</v>
      </c>
      <c r="F36" s="14" t="str">
        <f t="shared" si="0"/>
        <v/>
      </c>
      <c r="G36" s="13" t="str">
        <f t="shared" si="1"/>
        <v/>
      </c>
      <c r="H36" s="15">
        <v>18.559999999999999</v>
      </c>
      <c r="I36" s="14">
        <v>6.8179999999999996</v>
      </c>
      <c r="J36" s="14">
        <v>0.81100000000000005</v>
      </c>
      <c r="K36" s="16">
        <v>-0.1956</v>
      </c>
      <c r="L36" s="16">
        <v>-0.64749999999999996</v>
      </c>
      <c r="M36" s="17" t="s">
        <v>46</v>
      </c>
    </row>
    <row r="37" spans="1:13" ht="20" customHeight="1">
      <c r="A37" s="6" t="s">
        <v>52</v>
      </c>
      <c r="B37" s="8" t="s">
        <v>37</v>
      </c>
      <c r="C37" s="7">
        <v>51.503360000000001</v>
      </c>
      <c r="D37" s="8" t="s">
        <v>37</v>
      </c>
      <c r="E37" s="8" t="s">
        <v>37</v>
      </c>
      <c r="F37" s="8" t="str">
        <f t="shared" si="0"/>
        <v/>
      </c>
      <c r="G37" s="7" t="str">
        <f t="shared" si="1"/>
        <v/>
      </c>
      <c r="H37" s="9">
        <v>6.1929999999999996</v>
      </c>
      <c r="I37" s="8">
        <v>7.7089999999999996</v>
      </c>
      <c r="J37" s="8">
        <v>0.76400000000000001</v>
      </c>
      <c r="K37" s="10">
        <v>0.19470000000000001</v>
      </c>
      <c r="L37" s="10">
        <v>0.67290000000000005</v>
      </c>
      <c r="M37" s="11" t="s">
        <v>46</v>
      </c>
    </row>
    <row r="38" spans="1:13" ht="20" customHeight="1">
      <c r="A38" s="12" t="s">
        <v>53</v>
      </c>
      <c r="B38" s="14" t="s">
        <v>37</v>
      </c>
      <c r="C38" s="13">
        <v>67.900868000000003</v>
      </c>
      <c r="D38" s="14" t="s">
        <v>37</v>
      </c>
      <c r="E38" s="14" t="s">
        <v>37</v>
      </c>
      <c r="F38" s="14" t="str">
        <f t="shared" si="0"/>
        <v/>
      </c>
      <c r="G38" s="13" t="str">
        <f t="shared" si="1"/>
        <v/>
      </c>
      <c r="H38" s="15">
        <v>8.1720000000000006</v>
      </c>
      <c r="I38" s="14">
        <v>7.7080000000000002</v>
      </c>
      <c r="J38" s="14">
        <v>0.76400000000000001</v>
      </c>
      <c r="K38" s="16">
        <v>-0.22159999999999999</v>
      </c>
      <c r="L38" s="16">
        <v>-0.65449999999999997</v>
      </c>
      <c r="M38" s="17" t="s">
        <v>46</v>
      </c>
    </row>
    <row r="39" spans="1:13" ht="20" customHeight="1">
      <c r="A39" s="6" t="s">
        <v>54</v>
      </c>
      <c r="B39" s="8" t="s">
        <v>37</v>
      </c>
      <c r="C39" s="7">
        <v>50.987744999999997</v>
      </c>
      <c r="D39" s="8" t="s">
        <v>37</v>
      </c>
      <c r="E39" s="8" t="s">
        <v>37</v>
      </c>
      <c r="F39" s="8" t="str">
        <f t="shared" si="0"/>
        <v/>
      </c>
      <c r="G39" s="7" t="str">
        <f t="shared" si="1"/>
        <v/>
      </c>
      <c r="H39" s="9">
        <v>2.5289999999999999</v>
      </c>
      <c r="I39" s="8">
        <v>8.6530000000000005</v>
      </c>
      <c r="J39" s="8">
        <v>0.71699999999999997</v>
      </c>
      <c r="K39" s="10">
        <v>0.22459999999999999</v>
      </c>
      <c r="L39" s="10">
        <v>0.68</v>
      </c>
      <c r="M39" s="11" t="s">
        <v>46</v>
      </c>
    </row>
    <row r="40" spans="1:13" ht="20" customHeight="1">
      <c r="A40" s="12" t="s">
        <v>55</v>
      </c>
      <c r="B40" s="14" t="s">
        <v>37</v>
      </c>
      <c r="C40" s="13">
        <v>68.431005999999996</v>
      </c>
      <c r="D40" s="14" t="s">
        <v>37</v>
      </c>
      <c r="E40" s="14" t="s">
        <v>37</v>
      </c>
      <c r="F40" s="14" t="str">
        <f t="shared" si="0"/>
        <v/>
      </c>
      <c r="G40" s="13" t="str">
        <f t="shared" si="1"/>
        <v/>
      </c>
      <c r="H40" s="15">
        <v>3.3969999999999998</v>
      </c>
      <c r="I40" s="14">
        <v>8.6519999999999992</v>
      </c>
      <c r="J40" s="14">
        <v>0.71699999999999997</v>
      </c>
      <c r="K40" s="16">
        <v>-0.2492</v>
      </c>
      <c r="L40" s="16">
        <v>-0.66</v>
      </c>
      <c r="M40" s="17" t="s">
        <v>46</v>
      </c>
    </row>
    <row r="41" spans="1:13" ht="20" customHeight="1">
      <c r="A41" s="6" t="s">
        <v>56</v>
      </c>
      <c r="B41" s="8" t="s">
        <v>37</v>
      </c>
      <c r="C41" s="7">
        <v>50.474214000000003</v>
      </c>
      <c r="D41" s="8" t="s">
        <v>37</v>
      </c>
      <c r="E41" s="8" t="s">
        <v>37</v>
      </c>
      <c r="F41" s="8" t="str">
        <f t="shared" si="0"/>
        <v/>
      </c>
      <c r="G41" s="7" t="str">
        <f t="shared" si="1"/>
        <v/>
      </c>
      <c r="H41" s="9">
        <v>0.97499999999999998</v>
      </c>
      <c r="I41" s="8">
        <v>9.6509999999999998</v>
      </c>
      <c r="J41" s="8">
        <v>0.66900000000000004</v>
      </c>
      <c r="K41" s="10">
        <v>0.25659999999999999</v>
      </c>
      <c r="L41" s="10">
        <v>0.68500000000000005</v>
      </c>
      <c r="M41" s="11" t="s">
        <v>46</v>
      </c>
    </row>
    <row r="42" spans="1:13" ht="20" customHeight="1">
      <c r="A42" s="12" t="s">
        <v>57</v>
      </c>
      <c r="B42" s="14" t="s">
        <v>37</v>
      </c>
      <c r="C42" s="13">
        <v>68.960312000000002</v>
      </c>
      <c r="D42" s="14" t="s">
        <v>37</v>
      </c>
      <c r="E42" s="14" t="s">
        <v>37</v>
      </c>
      <c r="F42" s="14" t="str">
        <f t="shared" si="0"/>
        <v/>
      </c>
      <c r="G42" s="13" t="str">
        <f t="shared" si="1"/>
        <v/>
      </c>
      <c r="H42" s="15">
        <v>1.3340000000000001</v>
      </c>
      <c r="I42" s="14">
        <v>9.65</v>
      </c>
      <c r="J42" s="14">
        <v>0.66900000000000004</v>
      </c>
      <c r="K42" s="16">
        <v>-0.27729999999999999</v>
      </c>
      <c r="L42" s="16">
        <v>-0.66500000000000004</v>
      </c>
      <c r="M42" s="17" t="s">
        <v>46</v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O2 Line 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Shamik Ghosh</cp:lastModifiedBy>
  <dcterms:created xsi:type="dcterms:W3CDTF">2026-09-23T22:19:53Z</dcterms:created>
  <dcterms:modified xsi:type="dcterms:W3CDTF">2026-09-24T04:32:00Z</dcterms:modified>
</cp:coreProperties>
</file>